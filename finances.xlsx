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s" sheetId="1" r:id="rId4"/>
    <sheet state="visible" name="BOM" sheetId="2" r:id="rId5"/>
    <sheet state="visible" name="Model" sheetId="3" r:id="rId6"/>
  </sheets>
  <definedNames>
    <definedName name="Tracker_Cost">#REF!</definedName>
    <definedName name="Gateway_Cost">#REF!</definedName>
  </definedNames>
  <calcPr/>
  <extLst>
    <ext uri="GoogleSheetsCustomDataVersion2">
      <go:sheetsCustomData xmlns:go="http://customooxmlschemas.google.com/" r:id="rId7" roundtripDataChecksum="SB94AZCPMzLM9i9BgS7lOYiFestD9FMNdy5llNqJmt4="/>
    </ext>
  </extLst>
</workbook>
</file>

<file path=xl/sharedStrings.xml><?xml version="1.0" encoding="utf-8"?>
<sst xmlns="http://schemas.openxmlformats.org/spreadsheetml/2006/main" count="58" uniqueCount="52">
  <si>
    <t>Space-Powered Sports: Financial Model Inputs</t>
  </si>
  <si>
    <t>Year 1</t>
  </si>
  <si>
    <t>Year 2</t>
  </si>
  <si>
    <t>Year 3</t>
  </si>
  <si>
    <t>Year 4</t>
  </si>
  <si>
    <t>Year 5</t>
  </si>
  <si>
    <t>VOLUMES</t>
  </si>
  <si>
    <t>Units Sold (Trackers)</t>
  </si>
  <si>
    <t>Subscription Users (Avg Year)</t>
  </si>
  <si>
    <t>Months Billed per Year</t>
  </si>
  <si>
    <t>PRICING</t>
  </si>
  <si>
    <t>Tracker Price (retail)</t>
  </si>
  <si>
    <t>Subscription Price (per user / month)</t>
  </si>
  <si>
    <t>SERVICE COSTS</t>
  </si>
  <si>
    <t>Satellite Cost (per user / month)</t>
  </si>
  <si>
    <t>OPERATING EXPENSES (ANNUAL)</t>
  </si>
  <si>
    <t>Salaries &amp; Contractors</t>
  </si>
  <si>
    <t>Marketing</t>
  </si>
  <si>
    <t>Overheads (rent, tools, travel)</t>
  </si>
  <si>
    <t>Cloud Infra (fixed)</t>
  </si>
  <si>
    <t>Other Expenses</t>
  </si>
  <si>
    <t>Bill of Materials</t>
  </si>
  <si>
    <t>TRACKER DEVICE</t>
  </si>
  <si>
    <t>Part</t>
  </si>
  <si>
    <t>Unit Cost (€)</t>
  </si>
  <si>
    <t>MCU + GNSS module</t>
  </si>
  <si>
    <t>HR + SpO₂ sensor</t>
  </si>
  <si>
    <t>IMU (accel/gyro)</t>
  </si>
  <si>
    <t>LoRa/BLE radio</t>
  </si>
  <si>
    <t>Barometer / UV / Temp</t>
  </si>
  <si>
    <t>PCB + components misc</t>
  </si>
  <si>
    <t>Battery</t>
  </si>
  <si>
    <t>Enclosure (IP-rated)</t>
  </si>
  <si>
    <t>Assembly &amp; test</t>
  </si>
  <si>
    <t>Satellite Modem</t>
  </si>
  <si>
    <t>5-Year Financial Model (formulas reference Inputs &amp; BOM)</t>
  </si>
  <si>
    <t>Metric</t>
  </si>
  <si>
    <t>Subscription Users</t>
  </si>
  <si>
    <t>Months Billed</t>
  </si>
  <si>
    <t>Tracker Price (€)</t>
  </si>
  <si>
    <t>Tracker Cost (€)</t>
  </si>
  <si>
    <t>Sub Price /mo (€)</t>
  </si>
  <si>
    <t>Sat Cost /mo (€)</t>
  </si>
  <si>
    <t>Hardware Revenue (€)</t>
  </si>
  <si>
    <t>Subscription Revenue (€)</t>
  </si>
  <si>
    <t>Salaries (€)</t>
  </si>
  <si>
    <t>Overheads (€)</t>
  </si>
  <si>
    <t>Cloud Infra Fixed (€)</t>
  </si>
  <si>
    <t>Marketing (€)</t>
  </si>
  <si>
    <t>Other Expenses (€)</t>
  </si>
  <si>
    <t>Operating Expenses (€)</t>
  </si>
  <si>
    <t>EBIT (€)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</si>
</sst>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€#,##0"/>
  </numFmts>
  <fonts count="7">
    <font>
      <sz val="11.0"/>
      <color theme="1"/>
      <name val="Calibri"/>
      <scheme val="minor"/>
    </font>
    <font>
      <b/>
      <sz val="14.0"/>
      <color theme="1"/>
      <name val="Calibri"/>
    </font>
    <font>
      <i/>
      <sz val="11.0"/>
      <color rgb="FF666666"/>
      <name val="Calibri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11.0"/>
      <color rgb="FFD9D9D9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Border="1" applyFill="1" applyFont="1"/>
    <xf borderId="0" fillId="0" fontId="4" numFmtId="0" xfId="0" applyFont="1"/>
    <xf borderId="0" fillId="0" fontId="5" numFmtId="3" xfId="0" applyAlignment="1" applyFont="1" applyNumberFormat="1">
      <alignment readingOrder="0"/>
    </xf>
    <xf borderId="0" fillId="0" fontId="5" numFmtId="3" xfId="0" applyFont="1" applyNumberFormat="1"/>
    <xf borderId="0" fillId="0" fontId="5" numFmtId="164" xfId="0" applyAlignment="1" applyFont="1" applyNumberFormat="1">
      <alignment readingOrder="0"/>
    </xf>
    <xf borderId="0" fillId="0" fontId="5" numFmtId="165" xfId="0" applyFont="1" applyNumberFormat="1"/>
    <xf borderId="0" fillId="0" fontId="4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6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71"/>
    <col customWidth="1" min="2" max="2" width="8.71"/>
    <col customWidth="1" min="3" max="7" width="16.71"/>
    <col customWidth="1" min="8" max="26" width="8.71"/>
  </cols>
  <sheetData>
    <row r="1">
      <c r="A1" s="1" t="s">
        <v>0</v>
      </c>
    </row>
    <row r="3">
      <c r="A3" s="2"/>
    </row>
    <row r="5">
      <c r="C5" s="3" t="s">
        <v>1</v>
      </c>
      <c r="D5" s="3" t="s">
        <v>2</v>
      </c>
      <c r="E5" s="3" t="s">
        <v>3</v>
      </c>
      <c r="F5" s="3" t="s">
        <v>4</v>
      </c>
      <c r="G5" s="3" t="s">
        <v>5</v>
      </c>
    </row>
    <row r="6">
      <c r="A6" s="3" t="s">
        <v>6</v>
      </c>
    </row>
    <row r="7">
      <c r="A7" s="4" t="s">
        <v>7</v>
      </c>
      <c r="C7" s="5">
        <v>600.0</v>
      </c>
      <c r="D7" s="6">
        <v>1500.0</v>
      </c>
      <c r="E7" s="6">
        <v>4000.0</v>
      </c>
      <c r="F7" s="5">
        <v>15000.0</v>
      </c>
      <c r="G7" s="5">
        <v>50000.0</v>
      </c>
    </row>
    <row r="8">
      <c r="A8" s="4" t="s">
        <v>8</v>
      </c>
      <c r="C8" s="6">
        <f t="shared" ref="C8:G8" si="1">C7*1.2</f>
        <v>720</v>
      </c>
      <c r="D8" s="6">
        <f t="shared" si="1"/>
        <v>1800</v>
      </c>
      <c r="E8" s="6">
        <f t="shared" si="1"/>
        <v>4800</v>
      </c>
      <c r="F8" s="6">
        <f t="shared" si="1"/>
        <v>18000</v>
      </c>
      <c r="G8" s="6">
        <f t="shared" si="1"/>
        <v>60000</v>
      </c>
    </row>
    <row r="9">
      <c r="A9" s="4" t="s">
        <v>9</v>
      </c>
      <c r="C9" s="7">
        <v>10.0</v>
      </c>
      <c r="D9" s="7">
        <v>10.5</v>
      </c>
      <c r="E9" s="7">
        <v>11.0</v>
      </c>
      <c r="F9" s="7">
        <v>11.5</v>
      </c>
      <c r="G9" s="7">
        <v>11.5</v>
      </c>
    </row>
    <row r="11">
      <c r="A11" s="3" t="s">
        <v>10</v>
      </c>
    </row>
    <row r="12">
      <c r="A12" s="4" t="s">
        <v>11</v>
      </c>
      <c r="C12" s="8">
        <v>199.0</v>
      </c>
      <c r="D12" s="8">
        <v>199.0</v>
      </c>
      <c r="E12" s="8">
        <v>199.0</v>
      </c>
      <c r="F12" s="8">
        <v>199.0</v>
      </c>
      <c r="G12" s="8">
        <v>199.0</v>
      </c>
    </row>
    <row r="13">
      <c r="A13" s="4" t="s">
        <v>12</v>
      </c>
      <c r="C13" s="8">
        <v>20.0</v>
      </c>
      <c r="D13" s="8">
        <v>20.0</v>
      </c>
      <c r="E13" s="8">
        <v>20.0</v>
      </c>
      <c r="F13" s="8">
        <v>20.0</v>
      </c>
      <c r="G13" s="8">
        <v>20.0</v>
      </c>
    </row>
    <row r="14">
      <c r="A14" s="3" t="s">
        <v>13</v>
      </c>
    </row>
    <row r="15">
      <c r="A15" s="4" t="s">
        <v>14</v>
      </c>
      <c r="C15" s="8">
        <v>6.0</v>
      </c>
      <c r="D15" s="8">
        <v>6.0</v>
      </c>
      <c r="E15" s="8">
        <v>6.0</v>
      </c>
      <c r="F15" s="8">
        <v>6.0</v>
      </c>
      <c r="G15" s="8">
        <v>6.0</v>
      </c>
    </row>
    <row r="17">
      <c r="A17" s="3" t="s">
        <v>15</v>
      </c>
    </row>
    <row r="18" ht="15.75" customHeight="1">
      <c r="A18" s="4" t="s">
        <v>16</v>
      </c>
      <c r="C18" s="8">
        <v>160000.0</v>
      </c>
      <c r="D18" s="8">
        <v>168000.0</v>
      </c>
      <c r="E18" s="8">
        <v>184000.0</v>
      </c>
      <c r="F18" s="8">
        <v>216000.0</v>
      </c>
      <c r="G18" s="8">
        <v>256000.0</v>
      </c>
    </row>
    <row r="19" ht="15.75" customHeight="1">
      <c r="A19" s="9" t="s">
        <v>17</v>
      </c>
      <c r="C19" s="8">
        <v>30000.0</v>
      </c>
      <c r="D19" s="8">
        <v>31500.0</v>
      </c>
      <c r="E19" s="8">
        <v>34500.0</v>
      </c>
      <c r="F19" s="8">
        <v>40500.0</v>
      </c>
      <c r="G19" s="8">
        <v>48000.0</v>
      </c>
    </row>
    <row r="20" ht="15.75" customHeight="1">
      <c r="A20" s="4" t="s">
        <v>18</v>
      </c>
      <c r="C20" s="8">
        <v>5000.0</v>
      </c>
      <c r="D20" s="8">
        <v>5250.0</v>
      </c>
      <c r="E20" s="8">
        <v>5750.0</v>
      </c>
      <c r="F20" s="8">
        <v>6750.0</v>
      </c>
      <c r="G20" s="8">
        <v>8000.0</v>
      </c>
    </row>
    <row r="21" ht="15.75" customHeight="1">
      <c r="A21" s="4" t="s">
        <v>19</v>
      </c>
      <c r="C21" s="8">
        <v>6000.0</v>
      </c>
      <c r="D21" s="8">
        <v>6300.0</v>
      </c>
      <c r="E21" s="8">
        <v>6900.0</v>
      </c>
      <c r="F21" s="8">
        <v>8100.0</v>
      </c>
      <c r="G21" s="8">
        <v>9600.0</v>
      </c>
    </row>
    <row r="22" ht="15.75" customHeight="1">
      <c r="A22" s="4" t="s">
        <v>20</v>
      </c>
      <c r="C22" s="8">
        <v>4000.0</v>
      </c>
      <c r="D22" s="8">
        <v>4200.0</v>
      </c>
      <c r="E22" s="8">
        <v>4600.0</v>
      </c>
      <c r="F22" s="8">
        <v>5400.0</v>
      </c>
      <c r="G22" s="8">
        <v>6400.0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71"/>
    <col customWidth="1" min="2" max="2" width="18.71"/>
    <col customWidth="1" min="3" max="24" width="8.71"/>
  </cols>
  <sheetData>
    <row r="1">
      <c r="A1" s="10" t="s">
        <v>21</v>
      </c>
    </row>
    <row r="3">
      <c r="A3" s="3" t="s">
        <v>22</v>
      </c>
    </row>
    <row r="4">
      <c r="A4" s="3" t="s">
        <v>23</v>
      </c>
      <c r="B4" s="3" t="s">
        <v>24</v>
      </c>
    </row>
    <row r="5">
      <c r="A5" s="4" t="s">
        <v>25</v>
      </c>
      <c r="B5" s="9">
        <v>12.0</v>
      </c>
    </row>
    <row r="6">
      <c r="A6" s="4" t="s">
        <v>26</v>
      </c>
      <c r="B6" s="4">
        <v>3.0</v>
      </c>
    </row>
    <row r="7">
      <c r="A7" s="4" t="s">
        <v>27</v>
      </c>
      <c r="B7" s="4">
        <v>2.0</v>
      </c>
    </row>
    <row r="8">
      <c r="A8" s="4" t="s">
        <v>28</v>
      </c>
      <c r="B8" s="9">
        <v>4.0</v>
      </c>
    </row>
    <row r="9">
      <c r="A9" s="4" t="s">
        <v>29</v>
      </c>
      <c r="B9" s="4">
        <v>3.0</v>
      </c>
    </row>
    <row r="10">
      <c r="A10" s="4" t="s">
        <v>30</v>
      </c>
      <c r="B10" s="4">
        <v>10.0</v>
      </c>
    </row>
    <row r="11">
      <c r="A11" s="4" t="s">
        <v>31</v>
      </c>
      <c r="B11" s="4">
        <v>8.0</v>
      </c>
    </row>
    <row r="12">
      <c r="A12" s="4" t="s">
        <v>32</v>
      </c>
      <c r="B12" s="9">
        <v>4.0</v>
      </c>
    </row>
    <row r="13">
      <c r="A13" s="4" t="s">
        <v>33</v>
      </c>
      <c r="B13" s="9">
        <v>5.0</v>
      </c>
    </row>
    <row r="14">
      <c r="A14" s="4" t="s">
        <v>34</v>
      </c>
      <c r="B14" s="4">
        <v>130.0</v>
      </c>
    </row>
    <row r="15">
      <c r="B15" s="4">
        <f>SUM(B4:B14)</f>
        <v>181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71"/>
    <col customWidth="1" min="2" max="6" width="18.71"/>
    <col customWidth="1" min="7" max="26" width="8.71"/>
  </cols>
  <sheetData>
    <row r="1">
      <c r="A1" s="1" t="s">
        <v>35</v>
      </c>
    </row>
    <row r="3">
      <c r="A3" s="3" t="s">
        <v>36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</row>
    <row r="4">
      <c r="A4" s="4" t="s">
        <v>7</v>
      </c>
      <c r="B4" s="6">
        <f>Inputs!C7</f>
        <v>600</v>
      </c>
      <c r="C4" s="6">
        <f>Inputs!D7</f>
        <v>1500</v>
      </c>
      <c r="D4" s="6">
        <f>Inputs!E7</f>
        <v>4000</v>
      </c>
      <c r="E4" s="6">
        <f>Inputs!F7</f>
        <v>15000</v>
      </c>
      <c r="F4" s="6">
        <f>Inputs!G7</f>
        <v>50000</v>
      </c>
    </row>
    <row r="5">
      <c r="A5" s="4" t="s">
        <v>37</v>
      </c>
      <c r="B5" s="6">
        <f>Inputs!C8</f>
        <v>720</v>
      </c>
      <c r="C5" s="6">
        <f>Inputs!D8</f>
        <v>1800</v>
      </c>
      <c r="D5" s="6">
        <f>Inputs!E8</f>
        <v>4800</v>
      </c>
      <c r="E5" s="6">
        <f>Inputs!F8</f>
        <v>18000</v>
      </c>
      <c r="F5" s="6">
        <f>Inputs!G8</f>
        <v>60000</v>
      </c>
    </row>
    <row r="6">
      <c r="A6" s="4" t="s">
        <v>38</v>
      </c>
      <c r="B6" s="6">
        <f>Inputs!C9</f>
        <v>10</v>
      </c>
      <c r="C6" s="6">
        <f>Inputs!D9</f>
        <v>10.5</v>
      </c>
      <c r="D6" s="6">
        <f>Inputs!E9</f>
        <v>11</v>
      </c>
      <c r="E6" s="6">
        <f>Inputs!F9</f>
        <v>11.5</v>
      </c>
      <c r="F6" s="6">
        <f>Inputs!G9</f>
        <v>11.5</v>
      </c>
    </row>
    <row r="7">
      <c r="A7" s="4" t="s">
        <v>39</v>
      </c>
      <c r="B7" s="8">
        <f>Inputs!C12</f>
        <v>199</v>
      </c>
      <c r="C7" s="8">
        <f>Inputs!D12</f>
        <v>199</v>
      </c>
      <c r="D7" s="8">
        <f>Inputs!E12</f>
        <v>199</v>
      </c>
      <c r="E7" s="8">
        <f>Inputs!F12</f>
        <v>199</v>
      </c>
      <c r="F7" s="8">
        <f>Inputs!G12</f>
        <v>199</v>
      </c>
    </row>
    <row r="8">
      <c r="A8" s="9" t="s">
        <v>40</v>
      </c>
      <c r="B8" s="8">
        <f>BOM!B15</f>
        <v>181</v>
      </c>
      <c r="C8" s="8">
        <f>BOM!B15 * 0.98</f>
        <v>177.38</v>
      </c>
      <c r="D8" s="8">
        <f>BOM!B15 * 0.96</f>
        <v>173.76</v>
      </c>
      <c r="E8" s="8">
        <f>BOM!B15 * 0.94</f>
        <v>170.14</v>
      </c>
      <c r="F8" s="8">
        <f>BOM!B15 * 0.92</f>
        <v>166.52</v>
      </c>
    </row>
    <row r="9">
      <c r="A9" s="4" t="s">
        <v>41</v>
      </c>
      <c r="B9" s="8">
        <f>Inputs!C13</f>
        <v>20</v>
      </c>
      <c r="C9" s="8">
        <f>Inputs!D13</f>
        <v>20</v>
      </c>
      <c r="D9" s="8">
        <f>Inputs!E13</f>
        <v>20</v>
      </c>
      <c r="E9" s="8">
        <f>Inputs!F13</f>
        <v>20</v>
      </c>
      <c r="F9" s="8">
        <f>Inputs!G13</f>
        <v>20</v>
      </c>
    </row>
    <row r="10">
      <c r="A10" s="4" t="s">
        <v>42</v>
      </c>
      <c r="B10" s="8">
        <f>Inputs!C15</f>
        <v>6</v>
      </c>
      <c r="C10" s="8">
        <f>Inputs!D15</f>
        <v>6</v>
      </c>
      <c r="D10" s="8">
        <f>Inputs!E15</f>
        <v>6</v>
      </c>
      <c r="E10" s="8">
        <f>Inputs!F15</f>
        <v>6</v>
      </c>
      <c r="F10" s="8">
        <f>Inputs!G15</f>
        <v>6</v>
      </c>
    </row>
    <row r="11">
      <c r="A11" s="4" t="s">
        <v>43</v>
      </c>
      <c r="B11" s="8">
        <f t="shared" ref="B11:F11" si="1">B4*(B7-B8)</f>
        <v>10800</v>
      </c>
      <c r="C11" s="8">
        <f t="shared" si="1"/>
        <v>32430</v>
      </c>
      <c r="D11" s="8">
        <f t="shared" si="1"/>
        <v>100960</v>
      </c>
      <c r="E11" s="8">
        <f t="shared" si="1"/>
        <v>432900</v>
      </c>
      <c r="F11" s="8">
        <f t="shared" si="1"/>
        <v>1624000</v>
      </c>
    </row>
    <row r="12">
      <c r="A12" s="4" t="s">
        <v>44</v>
      </c>
      <c r="B12" s="8">
        <f t="shared" ref="B12:F12" si="2">B5*B6*(B9-B10)</f>
        <v>100800</v>
      </c>
      <c r="C12" s="8">
        <f t="shared" si="2"/>
        <v>264600</v>
      </c>
      <c r="D12" s="8">
        <f t="shared" si="2"/>
        <v>739200</v>
      </c>
      <c r="E12" s="8">
        <f t="shared" si="2"/>
        <v>2898000</v>
      </c>
      <c r="F12" s="8">
        <f t="shared" si="2"/>
        <v>9660000</v>
      </c>
    </row>
    <row r="13" ht="15.75" customHeight="1">
      <c r="A13" s="4" t="s">
        <v>45</v>
      </c>
      <c r="B13" s="11">
        <f>Inputs!C18</f>
        <v>160000</v>
      </c>
      <c r="C13" s="11">
        <f>Inputs!D18</f>
        <v>168000</v>
      </c>
      <c r="D13" s="11">
        <f>Inputs!E18</f>
        <v>184000</v>
      </c>
      <c r="E13" s="11">
        <f>Inputs!F18</f>
        <v>216000</v>
      </c>
      <c r="F13" s="11">
        <f>Inputs!G18</f>
        <v>256000</v>
      </c>
    </row>
    <row r="14" ht="15.75" customHeight="1">
      <c r="A14" s="4" t="s">
        <v>46</v>
      </c>
      <c r="B14" s="11">
        <f>Inputs!C19</f>
        <v>30000</v>
      </c>
      <c r="C14" s="11">
        <f>Inputs!D19</f>
        <v>31500</v>
      </c>
      <c r="D14" s="11">
        <f>Inputs!E19</f>
        <v>34500</v>
      </c>
      <c r="E14" s="11">
        <f>Inputs!F19</f>
        <v>40500</v>
      </c>
      <c r="F14" s="11">
        <f>Inputs!G19</f>
        <v>48000</v>
      </c>
    </row>
    <row r="15" ht="15.75" customHeight="1">
      <c r="A15" s="4" t="s">
        <v>47</v>
      </c>
      <c r="B15" s="11">
        <f>Inputs!C21</f>
        <v>6000</v>
      </c>
      <c r="C15" s="11">
        <f>Inputs!D21</f>
        <v>6300</v>
      </c>
      <c r="D15" s="11">
        <f>Inputs!E21</f>
        <v>6900</v>
      </c>
      <c r="E15" s="11">
        <f>Inputs!F21</f>
        <v>8100</v>
      </c>
      <c r="F15" s="11">
        <f>Inputs!G21</f>
        <v>9600</v>
      </c>
    </row>
    <row r="16" ht="15.75" customHeight="1">
      <c r="A16" s="4" t="s">
        <v>48</v>
      </c>
      <c r="B16" s="11">
        <f>Inputs!C20</f>
        <v>5000</v>
      </c>
      <c r="C16" s="11">
        <f>Inputs!D20</f>
        <v>5250</v>
      </c>
      <c r="D16" s="11">
        <f>Inputs!E20</f>
        <v>5750</v>
      </c>
      <c r="E16" s="11">
        <f>Inputs!F20</f>
        <v>6750</v>
      </c>
      <c r="F16" s="11">
        <f>Inputs!G20</f>
        <v>8000</v>
      </c>
    </row>
    <row r="17" ht="15.75" customHeight="1">
      <c r="A17" s="4" t="s">
        <v>49</v>
      </c>
      <c r="B17" s="11">
        <f>Inputs!C22</f>
        <v>4000</v>
      </c>
      <c r="C17" s="11">
        <f>Inputs!D22</f>
        <v>4200</v>
      </c>
      <c r="D17" s="11">
        <f>Inputs!E22</f>
        <v>4600</v>
      </c>
      <c r="E17" s="11">
        <f>Inputs!F22</f>
        <v>5400</v>
      </c>
      <c r="F17" s="11">
        <f>Inputs!G22</f>
        <v>6400</v>
      </c>
    </row>
    <row r="18" ht="15.75" customHeight="1">
      <c r="A18" s="4" t="s">
        <v>50</v>
      </c>
      <c r="B18" s="8">
        <f t="shared" ref="B18:F18" si="3">SUM(B13:B17)</f>
        <v>205000</v>
      </c>
      <c r="C18" s="8">
        <f t="shared" si="3"/>
        <v>215250</v>
      </c>
      <c r="D18" s="8">
        <f t="shared" si="3"/>
        <v>235750</v>
      </c>
      <c r="E18" s="8">
        <f t="shared" si="3"/>
        <v>276750</v>
      </c>
      <c r="F18" s="8">
        <f t="shared" si="3"/>
        <v>328000</v>
      </c>
    </row>
    <row r="19" ht="15.75" customHeight="1">
      <c r="A19" s="4" t="s">
        <v>51</v>
      </c>
      <c r="B19" s="8">
        <f t="shared" ref="B19:F19" si="4">B11+B12-B18</f>
        <v>-93400</v>
      </c>
      <c r="C19" s="8">
        <f t="shared" si="4"/>
        <v>81780</v>
      </c>
      <c r="D19" s="8">
        <f t="shared" si="4"/>
        <v>604410</v>
      </c>
      <c r="E19" s="8">
        <f t="shared" si="4"/>
        <v>3054150</v>
      </c>
      <c r="F19" s="8">
        <f t="shared" si="4"/>
        <v>10956000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printOptions/>
  <pageMargins bottom="0.75" footer="0.0" header="0.0" left="0.7" right="0.7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2025-11-08T08:16:17Z</dcterms:created>
</cp:coreProperties>
</file>